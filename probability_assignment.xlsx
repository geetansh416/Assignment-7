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ink/ink3.xml" ContentType="application/inkml+xml"/>
  <Override PartName="/xl/ink/ink4.xml" ContentType="application/inkml+xml"/>
  <Override PartName="/xl/ink/ink5.xml" ContentType="application/inkml+xml"/>
  <Override PartName="/xl/drawings/drawing3.xml" ContentType="application/vnd.openxmlformats-officedocument.drawing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0C16EFAF-EB51-44D4-9F3B-4E1DEA3F5F9D}" xr6:coauthVersionLast="47" xr6:coauthVersionMax="47" xr10:uidLastSave="{00000000-0000-0000-0000-000000000000}"/>
  <bookViews>
    <workbookView xWindow="-108" yWindow="-108" windowWidth="23256" windowHeight="12456" firstSheet="1" activeTab="1" xr2:uid="{5E75AADA-17FB-4BF1-BC73-8F3BAAB1DA37}"/>
  </bookViews>
  <sheets>
    <sheet name="Assignment" sheetId="1" state="hidden" r:id="rId1"/>
    <sheet name="Question-1" sheetId="2" r:id="rId2"/>
    <sheet name="Question-2" sheetId="3" r:id="rId3"/>
    <sheet name="Question-3" sheetId="4" r:id="rId4"/>
    <sheet name="Question-4" sheetId="5" r:id="rId5"/>
    <sheet name="Question-5" sheetId="6" r:id="rId6"/>
    <sheet name="Question-6" sheetId="7" r:id="rId7"/>
    <sheet name="Question-7" sheetId="8" r:id="rId8"/>
    <sheet name="Question-8" sheetId="9" r:id="rId9"/>
    <sheet name="Question-9" sheetId="10" r:id="rId10"/>
    <sheet name="Question-10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0" l="1"/>
  <c r="E15" i="9"/>
  <c r="E13" i="9"/>
  <c r="E12" i="9"/>
  <c r="E11" i="9"/>
  <c r="E8" i="9"/>
  <c r="D21" i="8"/>
  <c r="D17" i="8"/>
  <c r="D16" i="8"/>
  <c r="D15" i="8"/>
  <c r="E8" i="7"/>
  <c r="E13" i="4"/>
  <c r="E12" i="4"/>
  <c r="E11" i="4"/>
  <c r="E8" i="4"/>
  <c r="D18" i="3"/>
  <c r="D15" i="3"/>
  <c r="D14" i="3"/>
  <c r="D13" i="3"/>
  <c r="D16" i="2"/>
  <c r="D8" i="2"/>
</calcChain>
</file>

<file path=xl/sharedStrings.xml><?xml version="1.0" encoding="utf-8"?>
<sst xmlns="http://schemas.openxmlformats.org/spreadsheetml/2006/main" count="130" uniqueCount="91">
  <si>
    <t>Probability Basics</t>
  </si>
  <si>
    <t>Assignment</t>
  </si>
  <si>
    <t>Question 1: A die is rolled. What is the probability of getting</t>
  </si>
  <si>
    <t xml:space="preserve">a) An even number </t>
  </si>
  <si>
    <t>b) A number greater than 4</t>
  </si>
  <si>
    <t>Question 2: In a class of 50 students:</t>
  </si>
  <si>
    <t>20 like Mathematics (M)</t>
  </si>
  <si>
    <t>15 like Science (S)</t>
  </si>
  <si>
    <t>5 like both subjects</t>
  </si>
  <si>
    <t>What is the probability that a student chosen at random likes Mathematics or Science?</t>
  </si>
  <si>
    <t>Question 3: A bag has 3 red and 2 blue balls. If one ball is drawn randomly and is red, what is the probability that the next ball is also red (without replacement)?</t>
  </si>
  <si>
    <t>Question 4: The population of a school is divided into 60% boys and 40% girls. If you want equal representation of both genders in the sample, which method should you use: Simple Random Sampling or Stratified Sampling? Why?</t>
  </si>
  <si>
    <t>Question 5: The average height of 1000 students = 160 cm. A sample of 100 students shows an average height = 158 cm.</t>
  </si>
  <si>
    <t>Find the sampling error.</t>
  </si>
  <si>
    <t>Question 6: The population mean salary is ₹50,000 with σ = ₹5,000. If we take a sample of 100 employees, what is the standard error of the mean (SEM)?</t>
  </si>
  <si>
    <t>Question 7: In a group of 100 students:</t>
  </si>
  <si>
    <t xml:space="preserve"> 10 like both Cricket and Football</t>
  </si>
  <si>
    <t xml:space="preserve"> 30 like Football (F)</t>
  </si>
  <si>
    <t>40 like Cricket (C)</t>
  </si>
  <si>
    <t>Find the probability that a student likes at least one sport.</t>
  </si>
  <si>
    <t>Question 8: From a deck of 52 cards, two cards are drawn without replacement. What is the probability that both are Aces?</t>
  </si>
  <si>
    <t>Question 9: A factory produces bulbs with 2% defective rate. If 5 bulbs are chosen at random, what is the probability that all are non-defective?</t>
  </si>
  <si>
    <t>Question 10: Differentiate between discrete and continuous random variables with examples.</t>
  </si>
  <si>
    <t>solution-</t>
  </si>
  <si>
    <t>Experiment-</t>
  </si>
  <si>
    <t>Rolling a dice</t>
  </si>
  <si>
    <t>Total outcomes-</t>
  </si>
  <si>
    <t>Favorable outcomes-</t>
  </si>
  <si>
    <t>(1,2,3,4,5,6)</t>
  </si>
  <si>
    <t>(2,4,6)</t>
  </si>
  <si>
    <t xml:space="preserve">probability </t>
  </si>
  <si>
    <t>Event-</t>
  </si>
  <si>
    <t>Getting an even number</t>
  </si>
  <si>
    <t>A number greater than 4</t>
  </si>
  <si>
    <t>(5,6)</t>
  </si>
  <si>
    <t>Event A</t>
  </si>
  <si>
    <t>like Mathematics</t>
  </si>
  <si>
    <t>like Science</t>
  </si>
  <si>
    <t>Event B</t>
  </si>
  <si>
    <t>Event (A and B)</t>
  </si>
  <si>
    <t>Like Both</t>
  </si>
  <si>
    <t>Additional Rule-</t>
  </si>
  <si>
    <t>p(A)+p(B)-p(A and B)</t>
  </si>
  <si>
    <t xml:space="preserve">Total student </t>
  </si>
  <si>
    <t>p(A)</t>
  </si>
  <si>
    <t>p(B)</t>
  </si>
  <si>
    <t>p(A and B)</t>
  </si>
  <si>
    <t>Given-</t>
  </si>
  <si>
    <t>p(A or B)</t>
  </si>
  <si>
    <t>Solution-</t>
  </si>
  <si>
    <t>Red balls</t>
  </si>
  <si>
    <t>Blue balls</t>
  </si>
  <si>
    <t>Total Outcomes</t>
  </si>
  <si>
    <t>one ball is drawn randomly and is red</t>
  </si>
  <si>
    <t>prob</t>
  </si>
  <si>
    <t xml:space="preserve">The next ball is also red </t>
  </si>
  <si>
    <t>Ans-</t>
  </si>
  <si>
    <t>We should use Startified Sampling.</t>
  </si>
  <si>
    <t>Because,</t>
  </si>
  <si>
    <t>it represent both genders equally.</t>
  </si>
  <si>
    <t>Sampling Error is Small Sample Size</t>
  </si>
  <si>
    <t>Because ,</t>
  </si>
  <si>
    <t>There are 1000 Students But they took only 100 students as a Sample</t>
  </si>
  <si>
    <t>Sigma</t>
  </si>
  <si>
    <t xml:space="preserve">Sample </t>
  </si>
  <si>
    <t>SEM</t>
  </si>
  <si>
    <t>Sigma/SQRT(N)</t>
  </si>
  <si>
    <t>Sollution -</t>
  </si>
  <si>
    <t>like Cricket</t>
  </si>
  <si>
    <t>like Football</t>
  </si>
  <si>
    <t>like both</t>
  </si>
  <si>
    <t>Total Students</t>
  </si>
  <si>
    <t>Prob</t>
  </si>
  <si>
    <t xml:space="preserve">Deck </t>
  </si>
  <si>
    <t>52 cards</t>
  </si>
  <si>
    <t>One card drawn out and is Ace</t>
  </si>
  <si>
    <t>Total  outcomes</t>
  </si>
  <si>
    <t>Favourable outcomes</t>
  </si>
  <si>
    <t>Second card drawn out and is Ace</t>
  </si>
  <si>
    <t>probability that both are Aces</t>
  </si>
  <si>
    <t xml:space="preserve"> prob</t>
  </si>
  <si>
    <t>Sample</t>
  </si>
  <si>
    <t>Defective Rate</t>
  </si>
  <si>
    <t>Trials</t>
  </si>
  <si>
    <t>Successes</t>
  </si>
  <si>
    <t>Using Binom Distribution</t>
  </si>
  <si>
    <t xml:space="preserve">  - Example: Number of heads in 3 coin tosses (0, 1, 2, 3</t>
  </si>
  <si>
    <t xml:space="preserve"> - Example: Height of students in a class (150.5 cm, 165.2 cm, etc.)</t>
  </si>
  <si>
    <r>
      <rPr>
        <b/>
        <sz val="11"/>
        <color theme="1"/>
        <rFont val="Aptos Narrow"/>
        <family val="2"/>
        <scheme val="minor"/>
      </rPr>
      <t>Continuous Random Variable</t>
    </r>
    <r>
      <rPr>
        <sz val="11"/>
        <color theme="1"/>
        <rFont val="Aptos Narrow"/>
        <family val="2"/>
        <scheme val="minor"/>
      </rPr>
      <t>: Takes any value within a range (including decimals)</t>
    </r>
  </si>
  <si>
    <r>
      <rPr>
        <b/>
        <sz val="11"/>
        <color theme="1"/>
        <rFont val="Aptos Narrow"/>
        <family val="2"/>
        <scheme val="minor"/>
      </rPr>
      <t>Discrete Random Variable</t>
    </r>
    <r>
      <rPr>
        <sz val="11"/>
        <color theme="1"/>
        <rFont val="Aptos Narrow"/>
        <family val="2"/>
        <scheme val="minor"/>
      </rPr>
      <t>: Takes countable values (whole numbers, integers)</t>
    </r>
  </si>
  <si>
    <t>sampling error is 158 - 160 =  -2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</si>
</sst>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48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9" fontId="0" fillId="0" borderId="0" xfId="0" applyNumberFormat="1"/>
    <xf numFmtId="0" fontId="2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4.xml"/><Relationship Id="rId2" Type="http://schemas.openxmlformats.org/officeDocument/2006/relationships/image" Target="../media/image10.png"/><Relationship Id="rId1" Type="http://schemas.openxmlformats.org/officeDocument/2006/relationships/customXml" Target="../ink/ink3.xml"/><Relationship Id="rId4" Type="http://schemas.openxmlformats.org/officeDocument/2006/relationships/customXml" Target="../ink/ink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ustomXml" Target="../ink/ink7.xml"/><Relationship Id="rId2" Type="http://schemas.openxmlformats.org/officeDocument/2006/relationships/image" Target="../media/image2.png"/><Relationship Id="rId1" Type="http://schemas.openxmlformats.org/officeDocument/2006/relationships/customXml" Target="../ink/ink6.xml"/><Relationship Id="rId6" Type="http://schemas.openxmlformats.org/officeDocument/2006/relationships/customXml" Target="../ink/ink9.xml"/><Relationship Id="rId5" Type="http://schemas.openxmlformats.org/officeDocument/2006/relationships/customXml" Target="../ink/ink8.xml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579120</xdr:colOff>
      <xdr:row>2</xdr:row>
      <xdr:rowOff>114120</xdr:rowOff>
    </xdr:from>
    <xdr:to>
      <xdr:col>1</xdr:col>
      <xdr:colOff>579480</xdr:colOff>
      <xdr:row>2</xdr:row>
      <xdr:rowOff>114480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7F895BF-C256-9137-C4B4-7836E6FFDD39}"/>
                </a:ext>
              </a:extLst>
            </xdr14:cNvPr>
            <xdr14:cNvContentPartPr/>
          </xdr14:nvContentPartPr>
          <xdr14:nvPr macro=""/>
          <xdr14:xfrm>
            <a:off x="1188720" y="4798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7F895BF-C256-9137-C4B4-7836E6FFDD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70720" y="4622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548520</xdr:colOff>
      <xdr:row>10</xdr:row>
      <xdr:rowOff>114120</xdr:rowOff>
    </xdr:from>
    <xdr:to>
      <xdr:col>1</xdr:col>
      <xdr:colOff>548880</xdr:colOff>
      <xdr:row>10</xdr:row>
      <xdr:rowOff>114480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D757F2E-41C6-7DAF-EAA7-84756C21DB9A}"/>
                </a:ext>
              </a:extLst>
            </xdr14:cNvPr>
            <xdr14:cNvContentPartPr/>
          </xdr14:nvContentPartPr>
          <xdr14:nvPr macro=""/>
          <xdr14:xfrm>
            <a:off x="1158120" y="19429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D757F2E-41C6-7DAF-EAA7-84756C21DB9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0120" y="19252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540960</xdr:colOff>
      <xdr:row>2</xdr:row>
      <xdr:rowOff>91080</xdr:rowOff>
    </xdr:from>
    <xdr:to>
      <xdr:col>1</xdr:col>
      <xdr:colOff>541320</xdr:colOff>
      <xdr:row>2</xdr:row>
      <xdr:rowOff>91440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16CA93E-61B8-21D0-A05F-522F11457C99}"/>
                </a:ext>
              </a:extLst>
            </xdr14:cNvPr>
            <xdr14:cNvContentPartPr/>
          </xdr14:nvContentPartPr>
          <xdr14:nvPr macro=""/>
          <xdr14:xfrm>
            <a:off x="1150560" y="4568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16CA93E-61B8-21D0-A05F-522F11457C9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32560" y="43920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540960</xdr:colOff>
      <xdr:row>3</xdr:row>
      <xdr:rowOff>91080</xdr:rowOff>
    </xdr:from>
    <xdr:to>
      <xdr:col>1</xdr:col>
      <xdr:colOff>541320</xdr:colOff>
      <xdr:row>3</xdr:row>
      <xdr:rowOff>91440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876F600-F6C2-51A8-1DE2-7B2123904B74}"/>
                </a:ext>
              </a:extLst>
            </xdr14:cNvPr>
            <xdr14:cNvContentPartPr/>
          </xdr14:nvContentPartPr>
          <xdr14:nvPr macro=""/>
          <xdr14:xfrm>
            <a:off x="1150560" y="63972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E876F600-F6C2-51A8-1DE2-7B2123904B7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32560" y="6220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556080</xdr:colOff>
      <xdr:row>4</xdr:row>
      <xdr:rowOff>91080</xdr:rowOff>
    </xdr:from>
    <xdr:to>
      <xdr:col>1</xdr:col>
      <xdr:colOff>556440</xdr:colOff>
      <xdr:row>4</xdr:row>
      <xdr:rowOff>91440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BE34DC49-6772-58CD-9B88-ECFEE7E619FC}"/>
                </a:ext>
              </a:extLst>
            </xdr14:cNvPr>
            <xdr14:cNvContentPartPr/>
          </xdr14:nvContentPartPr>
          <xdr14:nvPr macro=""/>
          <xdr14:xfrm>
            <a:off x="1165680" y="82260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BE34DC49-6772-58CD-9B88-ECFEE7E619F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7680" y="8049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541140</xdr:colOff>
      <xdr:row>2</xdr:row>
      <xdr:rowOff>114180</xdr:rowOff>
    </xdr:from>
    <xdr:to>
      <xdr:col>1</xdr:col>
      <xdr:colOff>541500</xdr:colOff>
      <xdr:row>2</xdr:row>
      <xdr:rowOff>114540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9EC1F1C-7B85-F4DB-46C6-A3041473C47E}"/>
                </a:ext>
              </a:extLst>
            </xdr14:cNvPr>
            <xdr14:cNvContentPartPr/>
          </xdr14:nvContentPartPr>
          <xdr14:nvPr macro=""/>
          <xdr14:xfrm>
            <a:off x="1150740" y="4799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9EC1F1C-7B85-F4DB-46C6-A3041473C47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1740" y="4709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548700</xdr:colOff>
      <xdr:row>2</xdr:row>
      <xdr:rowOff>114180</xdr:rowOff>
    </xdr:from>
    <xdr:to>
      <xdr:col>1</xdr:col>
      <xdr:colOff>549060</xdr:colOff>
      <xdr:row>2</xdr:row>
      <xdr:rowOff>114540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E79D823-C8A8-E47C-CD5D-56D459B0E357}"/>
                </a:ext>
              </a:extLst>
            </xdr14:cNvPr>
            <xdr14:cNvContentPartPr/>
          </xdr14:nvContentPartPr>
          <xdr14:nvPr macro=""/>
          <xdr14:xfrm>
            <a:off x="1158300" y="47994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E79D823-C8A8-E47C-CD5D-56D459B0E35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140300" y="4619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548700</xdr:colOff>
      <xdr:row>3</xdr:row>
      <xdr:rowOff>91500</xdr:rowOff>
    </xdr:from>
    <xdr:to>
      <xdr:col>1</xdr:col>
      <xdr:colOff>549060</xdr:colOff>
      <xdr:row>3</xdr:row>
      <xdr:rowOff>91860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35958F3D-F546-0A85-C489-3B73072507BF}"/>
                </a:ext>
              </a:extLst>
            </xdr14:cNvPr>
            <xdr14:cNvContentPartPr/>
          </xdr14:nvContentPartPr>
          <xdr14:nvPr macro=""/>
          <xdr14:xfrm>
            <a:off x="1158300" y="64014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35958F3D-F546-0A85-C489-3B73072507B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140300" y="62214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548700</xdr:colOff>
      <xdr:row>4</xdr:row>
      <xdr:rowOff>91500</xdr:rowOff>
    </xdr:from>
    <xdr:to>
      <xdr:col>1</xdr:col>
      <xdr:colOff>549060</xdr:colOff>
      <xdr:row>4</xdr:row>
      <xdr:rowOff>91860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AF03F08-1543-5317-1A80-3552C21B8873}"/>
                </a:ext>
              </a:extLst>
            </xdr14:cNvPr>
            <xdr14:cNvContentPartPr/>
          </xdr14:nvContentPartPr>
          <xdr14:nvPr macro=""/>
          <xdr14:xfrm>
            <a:off x="1158300" y="82302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AF03F08-1543-5317-1A80-3552C21B887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140300" y="8050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6:46:25.333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1 1 24575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4T06:46:32.963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1 1 24575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3T16:48:34.709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1 1 24575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3T16:48:36.802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1 1 24575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3T16:48:41.951"/>
    </inkml:context>
    <inkml:brush xml:id="br0">
      <inkml:brushProperty name="width" value="0.1" units="cm"/>
      <inkml:brushProperty name="height" value="0.1" units="cm"/>
    </inkml:brush>
  </inkml:definitions>
  <inkml:trace contextRef="#ctx0" brushRef="#br0">1 1 24575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55.81395" units="1/cm"/>
          <inkml:channelProperty channel="Y" name="resolution" value="55.6701" units="1/cm"/>
          <inkml:channelProperty channel="T" name="resolution" value="1" units="1/dev"/>
        </inkml:channelProperties>
      </inkml:inkSource>
      <inkml:timestamp xml:id="ts0" timeString="2026-01-03T16:55:13.9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55.81395" units="1/cm"/>
          <inkml:channelProperty channel="Y" name="resolution" value="55.6701" units="1/cm"/>
          <inkml:channelProperty channel="T" name="resolution" value="1" units="1/dev"/>
        </inkml:channelProperties>
      </inkml:inkSource>
      <inkml:timestamp xml:id="ts0" timeString="2026-01-03T16:55:21.753"/>
    </inkml:context>
    <inkml:brush xml:id="br0">
      <inkml:brushProperty name="width" value="0.1" units="cm"/>
      <inkml:brushProperty name="height" value="0.1" units="cm"/>
    </inkml:brush>
  </inkml:definitions>
  <inkml:trace contextRef="#ctx0" brushRef="#br0">0 0 0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55.81395" units="1/cm"/>
          <inkml:channelProperty channel="Y" name="resolution" value="55.6701" units="1/cm"/>
          <inkml:channelProperty channel="T" name="resolution" value="1" units="1/dev"/>
        </inkml:channelProperties>
      </inkml:inkSource>
      <inkml:timestamp xml:id="ts0" timeString="2026-01-03T16:55:32.730"/>
    </inkml:context>
    <inkml:brush xml:id="br0">
      <inkml:brushProperty name="width" value="0.1" units="cm"/>
      <inkml:brushProperty name="height" value="0.1" units="cm"/>
    </inkml:brush>
  </inkml:definitions>
  <inkml:trace contextRef="#ctx0" brushRef="#br0">0 0 0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080" units="cm"/>
          <inkml:channel name="T" type="integer" max="2.14748E9" units="dev"/>
        </inkml:traceFormat>
        <inkml:channelProperties>
          <inkml:channelProperty channel="X" name="resolution" value="55.81395" units="1/cm"/>
          <inkml:channelProperty channel="Y" name="resolution" value="55.6701" units="1/cm"/>
          <inkml:channelProperty channel="T" name="resolution" value="1" units="1/dev"/>
        </inkml:channelProperties>
      </inkml:inkSource>
      <inkml:timestamp xml:id="ts0" timeString="2026-01-03T16:55:39.323"/>
    </inkml:context>
    <inkml:brush xml:id="br0">
      <inkml:brushProperty name="width" value="0.1" units="cm"/>
      <inkml:brushProperty name="height" value="0.1" units="cm"/>
    </inkml:brush>
  </inkml:definitions>
  <inkml:trace contextRef="#ctx0" brushRef="#br0">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846C026-03C1-421A-A176-6587338F147D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abhVUN4qXm2wvVDTkrE-h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F7B90-0EB6-42ED-8955-7C03EF84AD12}">
  <dimension ref="G7:I8"/>
  <sheetViews>
    <sheetView workbookViewId="0">
      <selection activeCell="M11" sqref="M11"/>
    </sheetView>
  </sheetViews>
  <sheetFormatPr defaultRowHeight="14.4" x14ac:dyDescent="0.3"/>
  <sheetData>
    <row r="7" spans="7:9" ht="69" x14ac:dyDescent="1.35">
      <c r="G7" s="3" t="s">
        <v>0</v>
      </c>
    </row>
    <row r="8" spans="7:9" ht="69" x14ac:dyDescent="1.35">
      <c r="I8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E6145-6FCC-46C7-9161-93B07B5785E8}">
  <dimension ref="B2:F16"/>
  <sheetViews>
    <sheetView tabSelected="1" workbookViewId="0">
      <selection activeCell="H14" sqref="H14"/>
    </sheetView>
  </sheetViews>
  <sheetFormatPr defaultRowHeight="14.4" x14ac:dyDescent="0.3"/>
  <cols>
    <col min="2" max="2" width="9.6640625" customWidth="1"/>
    <col min="3" max="3" width="17.5546875" customWidth="1"/>
  </cols>
  <sheetData>
    <row r="2" spans="2:6" x14ac:dyDescent="0.3">
      <c r="B2" t="s">
        <v>2</v>
      </c>
    </row>
    <row r="3" spans="2:6" x14ac:dyDescent="0.3">
      <c r="C3" t="s">
        <v>3</v>
      </c>
    </row>
    <row r="4" spans="2:6" x14ac:dyDescent="0.3">
      <c r="B4" s="1" t="s">
        <v>23</v>
      </c>
      <c r="C4" t="s">
        <v>24</v>
      </c>
      <c r="D4" t="s">
        <v>25</v>
      </c>
    </row>
    <row r="5" spans="2:6" x14ac:dyDescent="0.3">
      <c r="C5" t="s">
        <v>26</v>
      </c>
      <c r="D5">
        <v>6</v>
      </c>
      <c r="E5" t="s">
        <v>28</v>
      </c>
    </row>
    <row r="6" spans="2:6" x14ac:dyDescent="0.3">
      <c r="C6" t="s">
        <v>31</v>
      </c>
      <c r="D6" t="s">
        <v>32</v>
      </c>
      <c r="F6" s="1"/>
    </row>
    <row r="7" spans="2:6" x14ac:dyDescent="0.3">
      <c r="C7" t="s">
        <v>27</v>
      </c>
      <c r="D7">
        <v>3</v>
      </c>
      <c r="E7" t="s">
        <v>29</v>
      </c>
    </row>
    <row r="8" spans="2:6" x14ac:dyDescent="0.3">
      <c r="C8" s="1" t="s">
        <v>30</v>
      </c>
      <c r="D8" s="1">
        <f>D7/D5</f>
        <v>0.5</v>
      </c>
    </row>
    <row r="11" spans="2:6" x14ac:dyDescent="0.3">
      <c r="C11" t="s">
        <v>4</v>
      </c>
    </row>
    <row r="12" spans="2:6" x14ac:dyDescent="0.3">
      <c r="B12" s="1" t="s">
        <v>23</v>
      </c>
      <c r="C12" t="s">
        <v>24</v>
      </c>
      <c r="D12" t="s">
        <v>25</v>
      </c>
    </row>
    <row r="13" spans="2:6" x14ac:dyDescent="0.3">
      <c r="C13" t="s">
        <v>26</v>
      </c>
      <c r="D13">
        <v>6</v>
      </c>
      <c r="E13" t="s">
        <v>28</v>
      </c>
    </row>
    <row r="14" spans="2:6" x14ac:dyDescent="0.3">
      <c r="C14" t="s">
        <v>31</v>
      </c>
      <c r="D14" t="s">
        <v>33</v>
      </c>
    </row>
    <row r="15" spans="2:6" x14ac:dyDescent="0.3">
      <c r="C15" t="s">
        <v>27</v>
      </c>
      <c r="D15">
        <v>2</v>
      </c>
      <c r="E15" t="s">
        <v>34</v>
      </c>
    </row>
    <row r="16" spans="2:6" x14ac:dyDescent="0.3">
      <c r="C16" s="1" t="s">
        <v>30</v>
      </c>
      <c r="D16" s="1">
        <f>D15/D13</f>
        <v>0.33333333333333331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08955-3816-4395-868E-6F9C7003B623}">
  <dimension ref="B2:E18"/>
  <sheetViews>
    <sheetView workbookViewId="0">
      <selection activeCell="C18" sqref="C18"/>
    </sheetView>
  </sheetViews>
  <sheetFormatPr defaultRowHeight="14.4" x14ac:dyDescent="0.3"/>
  <cols>
    <col min="3" max="3" width="13.21875" customWidth="1"/>
    <col min="4" max="4" width="15.44140625" customWidth="1"/>
  </cols>
  <sheetData>
    <row r="2" spans="2:5" x14ac:dyDescent="0.3">
      <c r="B2" t="s">
        <v>5</v>
      </c>
    </row>
    <row r="3" spans="2:5" x14ac:dyDescent="0.3">
      <c r="C3" t="s">
        <v>6</v>
      </c>
    </row>
    <row r="4" spans="2:5" x14ac:dyDescent="0.3">
      <c r="C4" t="s">
        <v>7</v>
      </c>
    </row>
    <row r="5" spans="2:5" x14ac:dyDescent="0.3">
      <c r="C5" t="s">
        <v>8</v>
      </c>
    </row>
    <row r="6" spans="2:5" x14ac:dyDescent="0.3">
      <c r="B6" t="s">
        <v>9</v>
      </c>
    </row>
    <row r="7" spans="2:5" x14ac:dyDescent="0.3">
      <c r="B7" s="1" t="s">
        <v>47</v>
      </c>
      <c r="C7" t="s">
        <v>43</v>
      </c>
      <c r="D7">
        <v>50</v>
      </c>
    </row>
    <row r="8" spans="2:5" x14ac:dyDescent="0.3">
      <c r="C8" t="s">
        <v>35</v>
      </c>
      <c r="D8" t="s">
        <v>36</v>
      </c>
      <c r="E8">
        <v>20</v>
      </c>
    </row>
    <row r="9" spans="2:5" x14ac:dyDescent="0.3">
      <c r="C9" t="s">
        <v>38</v>
      </c>
      <c r="D9" t="s">
        <v>37</v>
      </c>
      <c r="E9">
        <v>15</v>
      </c>
    </row>
    <row r="10" spans="2:5" x14ac:dyDescent="0.3">
      <c r="C10" t="s">
        <v>39</v>
      </c>
      <c r="D10" t="s">
        <v>40</v>
      </c>
      <c r="E10">
        <v>5</v>
      </c>
    </row>
    <row r="11" spans="2:5" x14ac:dyDescent="0.3">
      <c r="B11" s="1" t="s">
        <v>23</v>
      </c>
    </row>
    <row r="12" spans="2:5" x14ac:dyDescent="0.3">
      <c r="C12" t="s">
        <v>43</v>
      </c>
      <c r="D12">
        <v>50</v>
      </c>
    </row>
    <row r="13" spans="2:5" x14ac:dyDescent="0.3">
      <c r="C13" t="s">
        <v>44</v>
      </c>
      <c r="D13">
        <f>E8/D12</f>
        <v>0.4</v>
      </c>
    </row>
    <row r="14" spans="2:5" x14ac:dyDescent="0.3">
      <c r="C14" t="s">
        <v>45</v>
      </c>
      <c r="D14">
        <f>E9/D12</f>
        <v>0.3</v>
      </c>
    </row>
    <row r="15" spans="2:5" x14ac:dyDescent="0.3">
      <c r="C15" t="s">
        <v>46</v>
      </c>
      <c r="D15">
        <f>E10/D12</f>
        <v>0.1</v>
      </c>
    </row>
    <row r="16" spans="2:5" x14ac:dyDescent="0.3">
      <c r="B16" s="1" t="s">
        <v>41</v>
      </c>
      <c r="C16" s="1"/>
      <c r="D16" s="1"/>
    </row>
    <row r="17" spans="2:4" x14ac:dyDescent="0.3">
      <c r="B17" s="1"/>
      <c r="C17" s="1" t="s">
        <v>48</v>
      </c>
      <c r="D17" s="1" t="s">
        <v>42</v>
      </c>
    </row>
    <row r="18" spans="2:4" x14ac:dyDescent="0.3">
      <c r="B18" s="1"/>
      <c r="C18" s="1" t="s">
        <v>72</v>
      </c>
      <c r="D18" s="1">
        <f>D13+D14-D15</f>
        <v>0.6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84082-1401-4877-917C-D64447A5EE27}">
  <dimension ref="B2:E13"/>
  <sheetViews>
    <sheetView workbookViewId="0">
      <selection activeCell="E25" sqref="E25"/>
    </sheetView>
  </sheetViews>
  <sheetFormatPr defaultRowHeight="14.4" x14ac:dyDescent="0.3"/>
  <cols>
    <col min="3" max="3" width="13.109375" customWidth="1"/>
    <col min="4" max="4" width="13.88671875" customWidth="1"/>
  </cols>
  <sheetData>
    <row r="2" spans="2:5" x14ac:dyDescent="0.3">
      <c r="B2" t="s">
        <v>10</v>
      </c>
    </row>
    <row r="3" spans="2:5" x14ac:dyDescent="0.3">
      <c r="C3" t="s">
        <v>49</v>
      </c>
    </row>
    <row r="4" spans="2:5" x14ac:dyDescent="0.3">
      <c r="D4" t="s">
        <v>50</v>
      </c>
      <c r="E4">
        <v>3</v>
      </c>
    </row>
    <row r="5" spans="2:5" x14ac:dyDescent="0.3">
      <c r="D5" t="s">
        <v>51</v>
      </c>
      <c r="E5">
        <v>2</v>
      </c>
    </row>
    <row r="6" spans="2:5" x14ac:dyDescent="0.3">
      <c r="C6" s="1" t="s">
        <v>53</v>
      </c>
      <c r="D6" s="1"/>
      <c r="E6" s="1"/>
    </row>
    <row r="7" spans="2:5" x14ac:dyDescent="0.3">
      <c r="D7" t="s">
        <v>52</v>
      </c>
      <c r="E7">
        <v>5</v>
      </c>
    </row>
    <row r="8" spans="2:5" x14ac:dyDescent="0.3">
      <c r="D8" s="1" t="s">
        <v>54</v>
      </c>
      <c r="E8" s="1">
        <f>E4/E7</f>
        <v>0.6</v>
      </c>
    </row>
    <row r="10" spans="2:5" x14ac:dyDescent="0.3">
      <c r="C10" s="1" t="s">
        <v>55</v>
      </c>
      <c r="D10" s="1"/>
    </row>
    <row r="11" spans="2:5" x14ac:dyDescent="0.3">
      <c r="D11" t="s">
        <v>52</v>
      </c>
      <c r="E11">
        <f>E7-1</f>
        <v>4</v>
      </c>
    </row>
    <row r="12" spans="2:5" x14ac:dyDescent="0.3">
      <c r="D12" t="s">
        <v>50</v>
      </c>
      <c r="E12">
        <f>E4-1</f>
        <v>2</v>
      </c>
    </row>
    <row r="13" spans="2:5" x14ac:dyDescent="0.3">
      <c r="D13" s="1" t="s">
        <v>54</v>
      </c>
      <c r="E13" s="1">
        <f>E12/E11</f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1F50C-60DA-4F4A-8CAF-735C8E53BCFB}">
  <dimension ref="B2:F4"/>
  <sheetViews>
    <sheetView workbookViewId="0">
      <selection activeCell="E11" sqref="E11"/>
    </sheetView>
  </sheetViews>
  <sheetFormatPr defaultRowHeight="14.4" x14ac:dyDescent="0.3"/>
  <sheetData>
    <row r="2" spans="2:6" x14ac:dyDescent="0.3">
      <c r="B2" t="s">
        <v>11</v>
      </c>
    </row>
    <row r="3" spans="2:6" x14ac:dyDescent="0.3">
      <c r="B3" t="s">
        <v>56</v>
      </c>
      <c r="C3" s="1" t="s">
        <v>57</v>
      </c>
      <c r="D3" s="1"/>
      <c r="E3" s="1"/>
      <c r="F3" s="1"/>
    </row>
    <row r="4" spans="2:6" x14ac:dyDescent="0.3">
      <c r="C4" s="1" t="s">
        <v>58</v>
      </c>
      <c r="D4" s="1" t="s">
        <v>59</v>
      </c>
      <c r="E4" s="1"/>
      <c r="F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9335-DF8B-4A2F-B353-9134E4E59807}">
  <dimension ref="B2:G6"/>
  <sheetViews>
    <sheetView workbookViewId="0">
      <selection activeCell="C11" sqref="C11"/>
    </sheetView>
  </sheetViews>
  <sheetFormatPr defaultRowHeight="14.4" x14ac:dyDescent="0.3"/>
  <sheetData>
    <row r="2" spans="2:7" x14ac:dyDescent="0.3">
      <c r="B2" t="s">
        <v>12</v>
      </c>
    </row>
    <row r="3" spans="2:7" x14ac:dyDescent="0.3">
      <c r="C3" t="s">
        <v>13</v>
      </c>
    </row>
    <row r="4" spans="2:7" x14ac:dyDescent="0.3">
      <c r="C4" t="s">
        <v>56</v>
      </c>
      <c r="D4" s="1" t="s">
        <v>60</v>
      </c>
      <c r="E4" s="1"/>
    </row>
    <row r="5" spans="2:7" x14ac:dyDescent="0.3">
      <c r="D5" s="1" t="s">
        <v>61</v>
      </c>
      <c r="E5" s="1" t="s">
        <v>62</v>
      </c>
    </row>
    <row r="6" spans="2:7" x14ac:dyDescent="0.3">
      <c r="D6" s="4" t="s">
        <v>90</v>
      </c>
      <c r="E6" s="4"/>
      <c r="F6" s="4"/>
      <c r="G6" s="4"/>
    </row>
  </sheetData>
  <mergeCells count="1">
    <mergeCell ref="D6:G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07BDF-C710-4073-8F3B-968E70963A8C}">
  <dimension ref="B2:F8"/>
  <sheetViews>
    <sheetView workbookViewId="0">
      <selection activeCell="I10" sqref="I10"/>
    </sheetView>
  </sheetViews>
  <sheetFormatPr defaultRowHeight="14.4" x14ac:dyDescent="0.3"/>
  <sheetData>
    <row r="2" spans="2:6" x14ac:dyDescent="0.3">
      <c r="B2" t="s">
        <v>14</v>
      </c>
    </row>
    <row r="3" spans="2:6" x14ac:dyDescent="0.3">
      <c r="C3" t="s">
        <v>47</v>
      </c>
    </row>
    <row r="4" spans="2:6" x14ac:dyDescent="0.3">
      <c r="D4" t="s">
        <v>63</v>
      </c>
      <c r="E4">
        <v>5000</v>
      </c>
    </row>
    <row r="5" spans="2:6" x14ac:dyDescent="0.3">
      <c r="D5" t="s">
        <v>64</v>
      </c>
      <c r="E5">
        <v>100</v>
      </c>
    </row>
    <row r="6" spans="2:6" x14ac:dyDescent="0.3">
      <c r="C6" t="s">
        <v>67</v>
      </c>
    </row>
    <row r="7" spans="2:6" x14ac:dyDescent="0.3">
      <c r="D7" s="1" t="s">
        <v>65</v>
      </c>
      <c r="E7" s="1" t="s">
        <v>66</v>
      </c>
      <c r="F7" s="1"/>
    </row>
    <row r="8" spans="2:6" x14ac:dyDescent="0.3">
      <c r="D8" s="1" t="s">
        <v>65</v>
      </c>
      <c r="E8" s="1">
        <f>E4/SQRT(E5)</f>
        <v>500</v>
      </c>
      <c r="F8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DC8D7-BBEA-4238-9E80-F12B1A73EDB9}">
  <dimension ref="B2:E21"/>
  <sheetViews>
    <sheetView workbookViewId="0">
      <selection activeCell="G22" sqref="G22"/>
    </sheetView>
  </sheetViews>
  <sheetFormatPr defaultRowHeight="14.4" x14ac:dyDescent="0.3"/>
  <cols>
    <col min="3" max="3" width="12.44140625" customWidth="1"/>
    <col min="4" max="4" width="10.6640625" customWidth="1"/>
  </cols>
  <sheetData>
    <row r="2" spans="2:5" x14ac:dyDescent="0.3">
      <c r="B2" t="s">
        <v>15</v>
      </c>
    </row>
    <row r="3" spans="2:5" x14ac:dyDescent="0.3">
      <c r="C3" t="s">
        <v>18</v>
      </c>
    </row>
    <row r="4" spans="2:5" x14ac:dyDescent="0.3">
      <c r="C4" t="s">
        <v>17</v>
      </c>
    </row>
    <row r="5" spans="2:5" x14ac:dyDescent="0.3">
      <c r="C5" t="s">
        <v>16</v>
      </c>
    </row>
    <row r="6" spans="2:5" x14ac:dyDescent="0.3">
      <c r="B6" t="s">
        <v>19</v>
      </c>
    </row>
    <row r="8" spans="2:5" x14ac:dyDescent="0.3">
      <c r="B8" s="1" t="s">
        <v>47</v>
      </c>
      <c r="C8" t="s">
        <v>71</v>
      </c>
      <c r="D8">
        <v>100</v>
      </c>
    </row>
    <row r="9" spans="2:5" x14ac:dyDescent="0.3">
      <c r="C9" t="s">
        <v>35</v>
      </c>
      <c r="D9" t="s">
        <v>68</v>
      </c>
      <c r="E9">
        <v>40</v>
      </c>
    </row>
    <row r="10" spans="2:5" x14ac:dyDescent="0.3">
      <c r="C10" t="s">
        <v>38</v>
      </c>
      <c r="D10" t="s">
        <v>69</v>
      </c>
      <c r="E10">
        <v>30</v>
      </c>
    </row>
    <row r="11" spans="2:5" x14ac:dyDescent="0.3">
      <c r="C11" t="s">
        <v>39</v>
      </c>
      <c r="D11" t="s">
        <v>70</v>
      </c>
      <c r="E11">
        <v>10</v>
      </c>
    </row>
    <row r="13" spans="2:5" x14ac:dyDescent="0.3">
      <c r="B13" s="1" t="s">
        <v>23</v>
      </c>
    </row>
    <row r="14" spans="2:5" x14ac:dyDescent="0.3">
      <c r="C14" t="s">
        <v>43</v>
      </c>
      <c r="D14">
        <v>100</v>
      </c>
    </row>
    <row r="15" spans="2:5" x14ac:dyDescent="0.3">
      <c r="C15" t="s">
        <v>44</v>
      </c>
      <c r="D15">
        <f>E9/D8</f>
        <v>0.4</v>
      </c>
    </row>
    <row r="16" spans="2:5" x14ac:dyDescent="0.3">
      <c r="C16" t="s">
        <v>45</v>
      </c>
      <c r="D16">
        <f>E10/D8</f>
        <v>0.3</v>
      </c>
    </row>
    <row r="17" spans="2:4" x14ac:dyDescent="0.3">
      <c r="C17" t="s">
        <v>46</v>
      </c>
      <c r="D17">
        <f>E11/D8</f>
        <v>0.1</v>
      </c>
    </row>
    <row r="19" spans="2:4" x14ac:dyDescent="0.3">
      <c r="B19" s="1" t="s">
        <v>41</v>
      </c>
      <c r="C19" s="1"/>
      <c r="D19" s="1"/>
    </row>
    <row r="20" spans="2:4" x14ac:dyDescent="0.3">
      <c r="B20" s="1"/>
      <c r="C20" s="1" t="s">
        <v>48</v>
      </c>
      <c r="D20" s="1" t="s">
        <v>42</v>
      </c>
    </row>
    <row r="21" spans="2:4" x14ac:dyDescent="0.3">
      <c r="C21" s="1" t="s">
        <v>54</v>
      </c>
      <c r="D21" s="1">
        <f>D15+D16-D17</f>
        <v>0.6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F76F4-FFCD-451C-89D6-6064BD4A7E11}">
  <dimension ref="B2:E15"/>
  <sheetViews>
    <sheetView workbookViewId="0">
      <selection activeCell="H15" sqref="H15"/>
    </sheetView>
  </sheetViews>
  <sheetFormatPr defaultRowHeight="14.4" x14ac:dyDescent="0.3"/>
  <cols>
    <col min="3" max="3" width="8.88671875" customWidth="1"/>
    <col min="4" max="4" width="18.44140625" customWidth="1"/>
  </cols>
  <sheetData>
    <row r="2" spans="2:5" x14ac:dyDescent="0.3">
      <c r="B2" t="s">
        <v>20</v>
      </c>
    </row>
    <row r="3" spans="2:5" x14ac:dyDescent="0.3">
      <c r="C3" t="s">
        <v>49</v>
      </c>
    </row>
    <row r="4" spans="2:5" x14ac:dyDescent="0.3">
      <c r="D4" t="s">
        <v>73</v>
      </c>
      <c r="E4" t="s">
        <v>74</v>
      </c>
    </row>
    <row r="5" spans="2:5" x14ac:dyDescent="0.3">
      <c r="C5" t="s">
        <v>75</v>
      </c>
    </row>
    <row r="6" spans="2:5" x14ac:dyDescent="0.3">
      <c r="D6" t="s">
        <v>76</v>
      </c>
      <c r="E6">
        <v>52</v>
      </c>
    </row>
    <row r="7" spans="2:5" x14ac:dyDescent="0.3">
      <c r="D7" t="s">
        <v>77</v>
      </c>
      <c r="E7">
        <v>4</v>
      </c>
    </row>
    <row r="8" spans="2:5" x14ac:dyDescent="0.3">
      <c r="D8" t="s">
        <v>72</v>
      </c>
      <c r="E8">
        <f>E7/E6</f>
        <v>7.6923076923076927E-2</v>
      </c>
    </row>
    <row r="10" spans="2:5" x14ac:dyDescent="0.3">
      <c r="C10" t="s">
        <v>78</v>
      </c>
    </row>
    <row r="11" spans="2:5" x14ac:dyDescent="0.3">
      <c r="D11" t="s">
        <v>76</v>
      </c>
      <c r="E11">
        <f>E6-1</f>
        <v>51</v>
      </c>
    </row>
    <row r="12" spans="2:5" x14ac:dyDescent="0.3">
      <c r="D12" t="s">
        <v>77</v>
      </c>
      <c r="E12">
        <f>E7-1</f>
        <v>3</v>
      </c>
    </row>
    <row r="13" spans="2:5" x14ac:dyDescent="0.3">
      <c r="D13" t="s">
        <v>72</v>
      </c>
      <c r="E13">
        <f>E12/E11</f>
        <v>5.8823529411764705E-2</v>
      </c>
    </row>
    <row r="14" spans="2:5" x14ac:dyDescent="0.3">
      <c r="C14" s="1" t="s">
        <v>79</v>
      </c>
      <c r="D14" s="1"/>
      <c r="E14" s="1"/>
    </row>
    <row r="15" spans="2:5" x14ac:dyDescent="0.3">
      <c r="C15" s="1"/>
      <c r="D15" s="1" t="s">
        <v>80</v>
      </c>
      <c r="E15" s="1">
        <f>E8*E13</f>
        <v>4.5248868778280547E-3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D48AA-A9A3-4F5D-B342-85B9B988F528}">
  <dimension ref="B2:E13"/>
  <sheetViews>
    <sheetView workbookViewId="0">
      <selection activeCell="J18" sqref="J18"/>
    </sheetView>
  </sheetViews>
  <sheetFormatPr defaultRowHeight="14.4" x14ac:dyDescent="0.3"/>
  <cols>
    <col min="3" max="3" width="10.77734375" customWidth="1"/>
    <col min="4" max="4" width="12.6640625" customWidth="1"/>
  </cols>
  <sheetData>
    <row r="2" spans="2:5" x14ac:dyDescent="0.3">
      <c r="B2" t="s">
        <v>21</v>
      </c>
    </row>
    <row r="3" spans="2:5" x14ac:dyDescent="0.3">
      <c r="B3" t="s">
        <v>49</v>
      </c>
    </row>
    <row r="4" spans="2:5" x14ac:dyDescent="0.3">
      <c r="C4" s="1" t="s">
        <v>47</v>
      </c>
    </row>
    <row r="5" spans="2:5" x14ac:dyDescent="0.3">
      <c r="D5" t="s">
        <v>81</v>
      </c>
      <c r="E5">
        <v>5</v>
      </c>
    </row>
    <row r="6" spans="2:5" x14ac:dyDescent="0.3">
      <c r="D6" t="s">
        <v>82</v>
      </c>
      <c r="E6" s="2">
        <v>0.02</v>
      </c>
    </row>
    <row r="7" spans="2:5" x14ac:dyDescent="0.3">
      <c r="C7" s="1" t="s">
        <v>49</v>
      </c>
    </row>
    <row r="8" spans="2:5" x14ac:dyDescent="0.3">
      <c r="D8" t="s">
        <v>83</v>
      </c>
      <c r="E8">
        <v>5</v>
      </c>
    </row>
    <row r="9" spans="2:5" x14ac:dyDescent="0.3">
      <c r="D9" t="s">
        <v>84</v>
      </c>
      <c r="E9">
        <v>0</v>
      </c>
    </row>
    <row r="10" spans="2:5" x14ac:dyDescent="0.3">
      <c r="D10" t="s">
        <v>54</v>
      </c>
      <c r="E10">
        <v>0.02</v>
      </c>
    </row>
    <row r="12" spans="2:5" x14ac:dyDescent="0.3">
      <c r="C12" s="1" t="s">
        <v>85</v>
      </c>
      <c r="D12" s="1"/>
    </row>
    <row r="13" spans="2:5" x14ac:dyDescent="0.3">
      <c r="C13" s="1"/>
      <c r="D13" s="1">
        <f>_xlfn.BINOM.DIST(E9,E8,E10,TRUE)</f>
        <v>0.90392079680000004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F496-7F6F-4875-9BF3-02956A84ABE0}">
  <dimension ref="B2:C8"/>
  <sheetViews>
    <sheetView workbookViewId="0">
      <selection activeCell="F13" sqref="F13"/>
    </sheetView>
  </sheetViews>
  <sheetFormatPr defaultRowHeight="14.4" x14ac:dyDescent="0.3"/>
  <sheetData>
    <row r="2" spans="2:3" x14ac:dyDescent="0.3">
      <c r="B2" t="s">
        <v>22</v>
      </c>
    </row>
    <row r="4" spans="2:3" x14ac:dyDescent="0.3">
      <c r="B4" t="s">
        <v>56</v>
      </c>
      <c r="C4" t="s">
        <v>89</v>
      </c>
    </row>
    <row r="5" spans="2:3" x14ac:dyDescent="0.3">
      <c r="C5" t="s">
        <v>86</v>
      </c>
    </row>
    <row r="7" spans="2:3" x14ac:dyDescent="0.3">
      <c r="C7" t="s">
        <v>88</v>
      </c>
    </row>
    <row r="8" spans="2:3" x14ac:dyDescent="0.3">
      <c r="C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Assignment</vt:lpstr>
      <vt:lpstr>Question-1</vt:lpstr>
      <vt:lpstr>Question-2</vt:lpstr>
      <vt:lpstr>Question-3</vt:lpstr>
      <vt:lpstr>Question-4</vt:lpstr>
      <vt:lpstr>Question-5</vt:lpstr>
      <vt:lpstr>Question-6</vt:lpstr>
      <vt:lpstr>Question-7</vt:lpstr>
      <vt:lpstr>Question-8</vt:lpstr>
      <vt:lpstr>Question-9</vt:lpstr>
      <vt:lpstr>Question-10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s7249</dc:creator>
  <cp:lastModifiedBy>Geetansh Goyal</cp:lastModifiedBy>
  <dcterms:created xsi:type="dcterms:W3CDTF">2026-01-03T15:40:44Z</dcterms:created>
  <dcterms:modified xsi:type="dcterms:W3CDTF">2026-01-06T14:40:31Z</dcterms:modified>
</cp:coreProperties>
</file>